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imeprimo-my.sharepoint.com/personal/renato_ferreira_portfel_com_br/Documents/Portfel/Planejamento/"/>
    </mc:Choice>
  </mc:AlternateContent>
  <xr:revisionPtr revIDLastSave="30" documentId="8_{8D9C32F7-EF14-404C-95F3-5F8A60FC2A84}" xr6:coauthVersionLast="47" xr6:coauthVersionMax="47" xr10:uidLastSave="{B70F1286-07DD-46DF-9411-56D8B90C39AB}"/>
  <bookViews>
    <workbookView xWindow="-108" yWindow="-108" windowWidth="23256" windowHeight="12456" xr2:uid="{29F81857-38CE-4579-96A5-49BE33FA466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21" i="1"/>
  <c r="C30" i="1"/>
  <c r="C32" i="1" l="1"/>
  <c r="M30" i="1" l="1"/>
  <c r="L30" i="1"/>
  <c r="K30" i="1"/>
  <c r="J30" i="1"/>
  <c r="I30" i="1"/>
  <c r="H30" i="1"/>
  <c r="G30" i="1"/>
  <c r="F30" i="1"/>
  <c r="E30" i="1"/>
  <c r="D30" i="1"/>
  <c r="M21" i="1"/>
  <c r="L21" i="1"/>
  <c r="K21" i="1"/>
  <c r="J21" i="1"/>
  <c r="I21" i="1"/>
  <c r="H21" i="1"/>
  <c r="G21" i="1"/>
  <c r="F21" i="1"/>
  <c r="E21" i="1"/>
  <c r="D21" i="1"/>
  <c r="M11" i="1"/>
  <c r="L11" i="1"/>
  <c r="K11" i="1"/>
  <c r="J11" i="1"/>
  <c r="I11" i="1"/>
  <c r="H11" i="1"/>
  <c r="G11" i="1"/>
  <c r="F11" i="1"/>
  <c r="E11" i="1"/>
  <c r="D11" i="1"/>
  <c r="N11" i="1" l="1"/>
  <c r="N30" i="1"/>
  <c r="N21" i="1"/>
  <c r="D32" i="1" l="1"/>
  <c r="L32" i="1"/>
  <c r="G32" i="1"/>
  <c r="H32" i="1"/>
  <c r="I32" i="1"/>
  <c r="J32" i="1"/>
  <c r="K32" i="1"/>
  <c r="F32" i="1"/>
  <c r="N32" i="1"/>
  <c r="E32" i="1"/>
  <c r="M32" i="1"/>
  <c r="O30" i="1"/>
  <c r="O11" i="1" l="1"/>
  <c r="O32" i="1"/>
  <c r="O21" i="1"/>
</calcChain>
</file>

<file path=xl/sharedStrings.xml><?xml version="1.0" encoding="utf-8"?>
<sst xmlns="http://schemas.openxmlformats.org/spreadsheetml/2006/main" count="53" uniqueCount="27">
  <si>
    <t>Parcelamentos Cartões</t>
  </si>
  <si>
    <t>Santander - Unique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</si>
  <si>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</si>
  <si>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</si>
  <si>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</si>
  <si>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</si>
  <si>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</si>
  <si>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</si>
  <si>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</si>
  <si>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</si>
  <si>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</si>
  <si>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</si>
  <si>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</si>
  <si>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</si>
  <si>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C6 Bank</t>
  </si>
  <si>
    <t>Total por mês</t>
  </si>
  <si>
    <t>XP</t>
  </si>
  <si>
    <t>Unidas</t>
  </si>
  <si>
    <t>Seguro Viagem</t>
  </si>
  <si>
    <t>Caasp</t>
  </si>
  <si>
    <t>FK Partners</t>
  </si>
  <si>
    <t>Pás Decorativas</t>
  </si>
  <si>
    <t>Amazon</t>
  </si>
  <si>
    <t>Óculos</t>
  </si>
  <si>
    <t>Swift Final de Ano</t>
  </si>
  <si>
    <t>Casas Bahia</t>
  </si>
  <si>
    <t>Cartola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</si>
</sst>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1" xfId="0" applyBorder="1"/>
    <xf numFmtId="44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44" fontId="0" fillId="0" borderId="8" xfId="0" applyNumberFormat="1" applyBorder="1"/>
    <xf numFmtId="44" fontId="0" fillId="0" borderId="9" xfId="0" applyNumberFormat="1" applyBorder="1"/>
    <xf numFmtId="0" fontId="0" fillId="0" borderId="3" xfId="0" applyBorder="1" applyAlignment="1">
      <alignment horizontal="center"/>
    </xf>
    <xf numFmtId="0" fontId="0" fillId="0" borderId="10" xfId="0" applyBorder="1"/>
    <xf numFmtId="44" fontId="0" fillId="0" borderId="11" xfId="0" applyNumberFormat="1" applyBorder="1"/>
    <xf numFmtId="44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3" xfId="0" applyNumberFormat="1" applyBorder="1"/>
    <xf numFmtId="44" fontId="0" fillId="0" borderId="4" xfId="0" applyNumberFormat="1" applyBorder="1"/>
    <xf numFmtId="44" fontId="0" fillId="0" borderId="6" xfId="0" applyNumberFormat="1" applyBorder="1"/>
    <xf numFmtId="0" fontId="0" fillId="0" borderId="12" xfId="0" applyBorder="1"/>
    <xf numFmtId="0" fontId="0" fillId="0" borderId="13" xfId="0" applyBorder="1"/>
    <xf numFmtId="44" fontId="0" fillId="0" borderId="14" xfId="0" applyNumberFormat="1" applyBorder="1"/>
    <xf numFmtId="44" fontId="0" fillId="0" borderId="15" xfId="1" applyFont="1" applyBorder="1"/>
    <xf numFmtId="0" fontId="0" fillId="0" borderId="15" xfId="0" applyBorder="1"/>
    <xf numFmtId="44" fontId="0" fillId="0" borderId="16" xfId="1" applyFont="1" applyBorder="1"/>
    <xf numFmtId="44" fontId="0" fillId="0" borderId="17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70B-A9C8-4382-858E-F51C54BDCEEB}">
  <dimension ref="A1:R35"/>
  <sheetViews>
    <sheetView tabSelected="1" workbookViewId="0">
      <selection activeCell="K16" sqref="K16"/>
    </sheetView>
  </sheetViews>
  <sheetFormatPr defaultRowHeight="14.4" x14ac:dyDescent="0.3"/>
  <cols>
    <col min="1" max="1" width="21.6640625" bestFit="1" customWidth="1"/>
    <col min="2" max="2" width="6.5546875" customWidth="1"/>
    <col min="3" max="14" width="13.33203125" customWidth="1"/>
    <col min="15" max="15" width="14.33203125" bestFit="1" customWidth="1"/>
    <col min="16" max="16" width="13.33203125" bestFit="1" customWidth="1"/>
    <col min="19" max="19" width="13.33203125" bestFit="1" customWidth="1"/>
  </cols>
  <sheetData>
    <row r="1" spans="1:18" x14ac:dyDescent="0.3">
      <c r="A1" t="s">
        <v>0</v>
      </c>
    </row>
    <row r="2" spans="1:18" ht="15" thickBot="1" x14ac:dyDescent="0.35">
      <c r="A2" s="1"/>
    </row>
    <row r="3" spans="1:18" x14ac:dyDescent="0.3">
      <c r="A3" s="5" t="s">
        <v>1</v>
      </c>
      <c r="B3" s="11"/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1" t="s">
        <v>7</v>
      </c>
      <c r="N3" s="11" t="s">
        <v>8</v>
      </c>
      <c r="O3" s="19"/>
    </row>
    <row r="4" spans="1:18" x14ac:dyDescent="0.3">
      <c r="A4" s="7" t="s">
        <v>21</v>
      </c>
      <c r="B4" s="4"/>
      <c r="C4" s="14">
        <v>90</v>
      </c>
      <c r="D4" s="14">
        <v>90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20"/>
    </row>
    <row r="5" spans="1:18" x14ac:dyDescent="0.3">
      <c r="A5" s="7" t="s">
        <v>22</v>
      </c>
      <c r="B5" s="4"/>
      <c r="C5" s="14">
        <v>126.88</v>
      </c>
      <c r="D5" s="14">
        <v>126.88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20"/>
    </row>
    <row r="6" spans="1:18" x14ac:dyDescent="0.3">
      <c r="A6" s="7" t="s">
        <v>22</v>
      </c>
      <c r="B6" s="4"/>
      <c r="C6" s="14">
        <v>55.91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0"/>
    </row>
    <row r="7" spans="1:18" x14ac:dyDescent="0.3">
      <c r="A7" s="7" t="s">
        <v>23</v>
      </c>
      <c r="B7" s="4"/>
      <c r="C7" s="14">
        <v>51.98</v>
      </c>
      <c r="D7" s="14">
        <v>51.98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20"/>
    </row>
    <row r="8" spans="1:18" x14ac:dyDescent="0.3">
      <c r="A8" s="7"/>
      <c r="B8" s="4"/>
      <c r="C8" s="14">
        <v>5.54</v>
      </c>
      <c r="D8" s="14">
        <v>5.54</v>
      </c>
      <c r="E8" s="14">
        <v>5.54</v>
      </c>
      <c r="F8" s="14">
        <v>5.54</v>
      </c>
      <c r="G8" s="14">
        <v>5.54</v>
      </c>
      <c r="H8" s="14">
        <v>5.54</v>
      </c>
      <c r="I8" s="14">
        <v>5.54</v>
      </c>
      <c r="J8" s="14">
        <v>5.54</v>
      </c>
      <c r="K8" s="14"/>
      <c r="L8" s="14"/>
      <c r="M8" s="14"/>
      <c r="N8" s="14"/>
      <c r="O8" s="20"/>
    </row>
    <row r="9" spans="1:18" x14ac:dyDescent="0.3">
      <c r="A9" s="7"/>
      <c r="B9" s="4"/>
      <c r="C9" s="4"/>
      <c r="D9" s="4"/>
      <c r="E9" s="4"/>
      <c r="F9" s="4"/>
      <c r="G9" s="4"/>
      <c r="H9" s="4"/>
      <c r="I9" s="4"/>
      <c r="J9" s="4"/>
      <c r="K9" s="24"/>
      <c r="L9" s="22"/>
      <c r="M9" s="4"/>
      <c r="N9" s="4"/>
      <c r="O9" s="20"/>
    </row>
    <row r="10" spans="1:18" x14ac:dyDescent="0.3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23"/>
      <c r="M10" s="3"/>
      <c r="N10" s="3"/>
      <c r="O10" s="20"/>
    </row>
    <row r="11" spans="1:18" ht="15" thickBot="1" x14ac:dyDescent="0.35">
      <c r="A11" s="8"/>
      <c r="B11" s="9"/>
      <c r="C11" s="9">
        <f t="shared" ref="C11:N11" si="0">SUM(C4:C10)</f>
        <v>330.31</v>
      </c>
      <c r="D11" s="9">
        <f t="shared" si="0"/>
        <v>274.40000000000003</v>
      </c>
      <c r="E11" s="9">
        <f t="shared" si="0"/>
        <v>5.54</v>
      </c>
      <c r="F11" s="9">
        <f t="shared" si="0"/>
        <v>5.54</v>
      </c>
      <c r="G11" s="9">
        <f t="shared" si="0"/>
        <v>5.54</v>
      </c>
      <c r="H11" s="9">
        <f t="shared" si="0"/>
        <v>5.54</v>
      </c>
      <c r="I11" s="9">
        <f t="shared" si="0"/>
        <v>5.54</v>
      </c>
      <c r="J11" s="9">
        <f t="shared" si="0"/>
        <v>5.54</v>
      </c>
      <c r="K11" s="9">
        <f t="shared" si="0"/>
        <v>0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21">
        <f>SUM(B11:N11)</f>
        <v>637.94999999999982</v>
      </c>
      <c r="R11" s="2"/>
    </row>
    <row r="12" spans="1:18" ht="15" thickBot="1" x14ac:dyDescent="0.35"/>
    <row r="13" spans="1:18" x14ac:dyDescent="0.3">
      <c r="A13" s="5" t="s">
        <v>14</v>
      </c>
      <c r="B13" s="6"/>
      <c r="C13" s="11" t="s">
        <v>9</v>
      </c>
      <c r="D13" s="11" t="s">
        <v>10</v>
      </c>
      <c r="E13" s="11" t="s">
        <v>11</v>
      </c>
      <c r="F13" s="11" t="s">
        <v>12</v>
      </c>
      <c r="G13" s="11" t="s">
        <v>13</v>
      </c>
      <c r="H13" s="11" t="s">
        <v>2</v>
      </c>
      <c r="I13" s="11" t="s">
        <v>3</v>
      </c>
      <c r="J13" s="11" t="s">
        <v>4</v>
      </c>
      <c r="K13" s="11" t="s">
        <v>5</v>
      </c>
      <c r="L13" s="11" t="s">
        <v>6</v>
      </c>
      <c r="M13" s="11" t="s">
        <v>7</v>
      </c>
      <c r="N13" s="11" t="s">
        <v>8</v>
      </c>
      <c r="O13" s="19"/>
    </row>
    <row r="14" spans="1:18" x14ac:dyDescent="0.3">
      <c r="A14" s="7" t="s">
        <v>19</v>
      </c>
      <c r="B14" s="4"/>
      <c r="C14" s="14">
        <v>90</v>
      </c>
      <c r="D14" s="14">
        <v>90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20"/>
    </row>
    <row r="15" spans="1:18" x14ac:dyDescent="0.3">
      <c r="A15" s="7" t="s">
        <v>18</v>
      </c>
      <c r="B15" s="4"/>
      <c r="C15" s="14">
        <v>126.88</v>
      </c>
      <c r="D15" s="14">
        <v>126.88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20"/>
    </row>
    <row r="16" spans="1:18" x14ac:dyDescent="0.3">
      <c r="A16" s="7" t="s">
        <v>24</v>
      </c>
      <c r="B16" s="4"/>
      <c r="C16" s="14">
        <v>55.91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20"/>
    </row>
    <row r="17" spans="1:16" x14ac:dyDescent="0.3">
      <c r="A17" s="7"/>
      <c r="B17" s="4"/>
      <c r="C17" s="14">
        <v>51.98</v>
      </c>
      <c r="D17" s="14">
        <v>51.98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20"/>
    </row>
    <row r="18" spans="1:16" x14ac:dyDescent="0.3">
      <c r="A18" s="7"/>
      <c r="B18" s="4"/>
      <c r="C18" s="14">
        <v>5.54</v>
      </c>
      <c r="D18" s="14">
        <v>5.54</v>
      </c>
      <c r="E18" s="14">
        <v>5.54</v>
      </c>
      <c r="F18" s="14">
        <v>5.54</v>
      </c>
      <c r="G18" s="14">
        <v>5.54</v>
      </c>
      <c r="H18" s="14">
        <v>5.54</v>
      </c>
      <c r="I18" s="14">
        <v>5.54</v>
      </c>
      <c r="J18" s="14">
        <v>5.54</v>
      </c>
      <c r="K18" s="14"/>
      <c r="L18" s="14"/>
      <c r="M18" s="14"/>
      <c r="N18" s="14"/>
      <c r="O18" s="20"/>
    </row>
    <row r="19" spans="1:16" x14ac:dyDescent="0.3">
      <c r="A19" s="7"/>
      <c r="B19" s="4"/>
      <c r="C19" s="4"/>
      <c r="D19" s="4"/>
      <c r="E19" s="4"/>
      <c r="F19" s="4"/>
      <c r="G19" s="4"/>
      <c r="H19" s="4"/>
      <c r="I19" s="4"/>
      <c r="J19" s="4"/>
      <c r="K19" s="24"/>
      <c r="L19" s="22"/>
      <c r="M19" s="4"/>
      <c r="N19" s="4"/>
      <c r="O19" s="20"/>
    </row>
    <row r="20" spans="1:16" x14ac:dyDescent="0.3">
      <c r="A20" s="7"/>
      <c r="B20" s="3"/>
      <c r="C20" s="3"/>
      <c r="D20" s="3"/>
      <c r="E20" s="3"/>
      <c r="F20" s="3"/>
      <c r="G20" s="3"/>
      <c r="H20" s="3"/>
      <c r="I20" s="3"/>
      <c r="J20" s="3"/>
      <c r="K20" s="3"/>
      <c r="L20" s="23"/>
      <c r="M20" s="3"/>
      <c r="N20" s="3"/>
      <c r="O20" s="20"/>
    </row>
    <row r="21" spans="1:16" ht="15" thickBot="1" x14ac:dyDescent="0.35">
      <c r="A21" s="8"/>
      <c r="B21" s="9"/>
      <c r="C21" s="9">
        <f t="shared" ref="C21:N21" si="1">SUM(C14:C20)</f>
        <v>330.31</v>
      </c>
      <c r="D21" s="9">
        <f t="shared" si="1"/>
        <v>274.40000000000003</v>
      </c>
      <c r="E21" s="9">
        <f t="shared" si="1"/>
        <v>5.54</v>
      </c>
      <c r="F21" s="9">
        <f t="shared" si="1"/>
        <v>5.54</v>
      </c>
      <c r="G21" s="9">
        <f t="shared" si="1"/>
        <v>5.54</v>
      </c>
      <c r="H21" s="9">
        <f t="shared" si="1"/>
        <v>5.54</v>
      </c>
      <c r="I21" s="9">
        <f t="shared" si="1"/>
        <v>5.54</v>
      </c>
      <c r="J21" s="9">
        <f t="shared" si="1"/>
        <v>5.54</v>
      </c>
      <c r="K21" s="9">
        <f t="shared" si="1"/>
        <v>0</v>
      </c>
      <c r="L21" s="25">
        <f t="shared" si="1"/>
        <v>0</v>
      </c>
      <c r="M21" s="9">
        <f t="shared" si="1"/>
        <v>0</v>
      </c>
      <c r="N21" s="9">
        <f t="shared" si="1"/>
        <v>0</v>
      </c>
      <c r="O21" s="21">
        <f>SUM(B21:N21)</f>
        <v>637.94999999999982</v>
      </c>
    </row>
    <row r="22" spans="1:16" ht="15" thickBot="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6" x14ac:dyDescent="0.3">
      <c r="A23" s="15" t="s">
        <v>16</v>
      </c>
      <c r="B23" s="16"/>
      <c r="C23" s="11" t="s">
        <v>9</v>
      </c>
      <c r="D23" s="11" t="s">
        <v>10</v>
      </c>
      <c r="E23" s="11" t="s">
        <v>11</v>
      </c>
      <c r="F23" s="11" t="s">
        <v>12</v>
      </c>
      <c r="G23" s="11" t="s">
        <v>13</v>
      </c>
      <c r="H23" s="11" t="s">
        <v>2</v>
      </c>
      <c r="I23" s="11" t="s">
        <v>3</v>
      </c>
      <c r="J23" s="11" t="s">
        <v>4</v>
      </c>
      <c r="K23" s="11" t="s">
        <v>5</v>
      </c>
      <c r="L23" s="11" t="s">
        <v>6</v>
      </c>
      <c r="M23" s="11" t="s">
        <v>7</v>
      </c>
      <c r="N23" s="11" t="s">
        <v>8</v>
      </c>
      <c r="O23" s="17"/>
    </row>
    <row r="24" spans="1:16" x14ac:dyDescent="0.3">
      <c r="A24" s="7" t="s">
        <v>20</v>
      </c>
      <c r="B24" s="14"/>
      <c r="C24" s="14">
        <v>90</v>
      </c>
      <c r="D24" s="14">
        <v>90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8"/>
    </row>
    <row r="25" spans="1:16" x14ac:dyDescent="0.3">
      <c r="A25" s="7" t="s">
        <v>17</v>
      </c>
      <c r="B25" s="14"/>
      <c r="C25" s="14">
        <v>126.88</v>
      </c>
      <c r="D25" s="14">
        <v>126.88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8"/>
    </row>
    <row r="26" spans="1:16" x14ac:dyDescent="0.3">
      <c r="A26" s="7" t="s">
        <v>17</v>
      </c>
      <c r="B26" s="14"/>
      <c r="C26" s="14">
        <v>55.91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8"/>
    </row>
    <row r="27" spans="1:16" x14ac:dyDescent="0.3">
      <c r="A27" s="7" t="s">
        <v>25</v>
      </c>
      <c r="B27" s="14"/>
      <c r="C27" s="14">
        <v>51.98</v>
      </c>
      <c r="D27" s="14">
        <v>51.98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8"/>
    </row>
    <row r="28" spans="1:16" x14ac:dyDescent="0.3">
      <c r="A28" s="7" t="s">
        <v>26</v>
      </c>
      <c r="B28" s="14"/>
      <c r="C28" s="14">
        <v>5.54</v>
      </c>
      <c r="D28" s="14">
        <v>5.54</v>
      </c>
      <c r="E28" s="14">
        <v>5.54</v>
      </c>
      <c r="F28" s="14">
        <v>5.54</v>
      </c>
      <c r="G28" s="14">
        <v>5.54</v>
      </c>
      <c r="H28" s="14">
        <v>5.54</v>
      </c>
      <c r="I28" s="14">
        <v>5.54</v>
      </c>
      <c r="J28" s="14">
        <v>5.54</v>
      </c>
      <c r="K28" s="14"/>
      <c r="L28" s="14"/>
      <c r="M28" s="14"/>
      <c r="N28" s="14"/>
      <c r="O28" s="18"/>
    </row>
    <row r="29" spans="1:16" x14ac:dyDescent="0.3">
      <c r="A29" s="7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8"/>
    </row>
    <row r="30" spans="1:16" ht="15" thickBot="1" x14ac:dyDescent="0.35">
      <c r="A30" s="8"/>
      <c r="B30" s="9"/>
      <c r="C30" s="9">
        <f t="shared" ref="C30:N30" si="2">SUM(C24:C29)</f>
        <v>330.31</v>
      </c>
      <c r="D30" s="9">
        <f t="shared" si="2"/>
        <v>274.40000000000003</v>
      </c>
      <c r="E30" s="9">
        <f t="shared" si="2"/>
        <v>5.54</v>
      </c>
      <c r="F30" s="9">
        <f t="shared" si="2"/>
        <v>5.54</v>
      </c>
      <c r="G30" s="9">
        <f t="shared" si="2"/>
        <v>5.54</v>
      </c>
      <c r="H30" s="9">
        <f t="shared" si="2"/>
        <v>5.54</v>
      </c>
      <c r="I30" s="9">
        <f t="shared" si="2"/>
        <v>5.54</v>
      </c>
      <c r="J30" s="9">
        <f t="shared" si="2"/>
        <v>5.54</v>
      </c>
      <c r="K30" s="9">
        <f t="shared" si="2"/>
        <v>0</v>
      </c>
      <c r="L30" s="9">
        <f t="shared" si="2"/>
        <v>0</v>
      </c>
      <c r="M30" s="9">
        <f t="shared" si="2"/>
        <v>0</v>
      </c>
      <c r="N30" s="9">
        <f t="shared" si="2"/>
        <v>0</v>
      </c>
      <c r="O30" s="10">
        <f>SUM(B30:N30)</f>
        <v>637.94999999999982</v>
      </c>
    </row>
    <row r="31" spans="1:16" ht="15" thickBot="1" x14ac:dyDescent="0.35"/>
    <row r="32" spans="1:16" ht="15" thickBot="1" x14ac:dyDescent="0.35">
      <c r="A32" s="12" t="s">
        <v>15</v>
      </c>
      <c r="B32" s="13"/>
      <c r="C32" s="13">
        <f t="shared" ref="C32:N32" si="3">C11+C21+C30</f>
        <v>990.93000000000006</v>
      </c>
      <c r="D32" s="13">
        <f t="shared" si="3"/>
        <v>823.2</v>
      </c>
      <c r="E32" s="13">
        <f t="shared" si="3"/>
        <v>16.62</v>
      </c>
      <c r="F32" s="13">
        <f t="shared" si="3"/>
        <v>16.62</v>
      </c>
      <c r="G32" s="13">
        <f t="shared" si="3"/>
        <v>16.62</v>
      </c>
      <c r="H32" s="13">
        <f t="shared" si="3"/>
        <v>16.62</v>
      </c>
      <c r="I32" s="13">
        <f t="shared" si="3"/>
        <v>16.62</v>
      </c>
      <c r="J32" s="13">
        <f t="shared" si="3"/>
        <v>16.62</v>
      </c>
      <c r="K32" s="13">
        <f t="shared" si="3"/>
        <v>0</v>
      </c>
      <c r="L32" s="13">
        <f t="shared" si="3"/>
        <v>0</v>
      </c>
      <c r="M32" s="13">
        <f t="shared" si="3"/>
        <v>0</v>
      </c>
      <c r="N32" s="13">
        <f t="shared" si="3"/>
        <v>0</v>
      </c>
      <c r="O32" s="13">
        <f>SUM(C32:N32)</f>
        <v>1913.8499999999995</v>
      </c>
      <c r="P32" s="2"/>
    </row>
    <row r="34" spans="15:15" x14ac:dyDescent="0.3">
      <c r="O34" s="2"/>
    </row>
    <row r="35" spans="15:15" x14ac:dyDescent="0.3">
      <c r="O35" s="2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Viridiane Mioralli Calcas</dc:creator>
  <cp:keywords/>
  <dc:description/>
  <cp:lastModifiedBy>Renato Sampaio Ferreira</cp:lastModifiedBy>
  <cp:revision/>
  <dcterms:created xsi:type="dcterms:W3CDTF">2022-11-23T00:26:23Z</dcterms:created>
  <dcterms:modified xsi:type="dcterms:W3CDTF">2026-04-14T22:58:11Z</dcterms:modified>
  <cp:category/>
  <cp:contentStatus/>
</cp:coreProperties>
</file>